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oimspp-my.sharepoint.com/personal/randall_friendly_fws_gov1/Documents/Documents/Biological Programs/Tree Swallow Nest Box Monitoring/data/"/>
    </mc:Choice>
  </mc:AlternateContent>
  <xr:revisionPtr revIDLastSave="81" documentId="13_ncr:1_{DA5616DD-4AAF-41B9-AE06-FE6BFFC8A1D1}" xr6:coauthVersionLast="47" xr6:coauthVersionMax="47" xr10:uidLastSave="{6CB55A15-55A0-473F-B5B5-17FFC71131A9}"/>
  <bookViews>
    <workbookView xWindow="9490" yWindow="6920" windowWidth="21630" windowHeight="11230" xr2:uid="{BD582D2F-836B-4721-9C05-C19BAEABB1A2}"/>
  </bookViews>
  <sheets>
    <sheet name="Sheet1" sheetId="1" r:id="rId1"/>
    <sheet name="Sheet2"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2" l="1"/>
  <c r="C31" i="2"/>
  <c r="C30" i="2"/>
  <c r="C26" i="2"/>
  <c r="C25" i="2"/>
  <c r="C23" i="2"/>
  <c r="C17" i="2"/>
</calcChain>
</file>

<file path=xl/sharedStrings.xml><?xml version="1.0" encoding="utf-8"?>
<sst xmlns="http://schemas.openxmlformats.org/spreadsheetml/2006/main" count="161" uniqueCount="101">
  <si>
    <t>box_number</t>
  </si>
  <si>
    <t>species</t>
  </si>
  <si>
    <t>site</t>
  </si>
  <si>
    <t>nest_initiation</t>
  </si>
  <si>
    <t>nest_completion</t>
  </si>
  <si>
    <t>clutch_initiation</t>
  </si>
  <si>
    <t>clutch_completion</t>
  </si>
  <si>
    <t>incubation_start</t>
  </si>
  <si>
    <t>predicted_hatch</t>
  </si>
  <si>
    <t>predicted_fledge</t>
  </si>
  <si>
    <t>number_eggs</t>
  </si>
  <si>
    <t>number_hatched</t>
  </si>
  <si>
    <t>number_fledged</t>
  </si>
  <si>
    <t>actual_fledged</t>
  </si>
  <si>
    <t>date_banded_male</t>
  </si>
  <si>
    <t>date_banded_female</t>
  </si>
  <si>
    <t>date_banded_chicks</t>
  </si>
  <si>
    <t>successful</t>
  </si>
  <si>
    <t>year</t>
  </si>
  <si>
    <t>TRES</t>
  </si>
  <si>
    <t>Bethel</t>
  </si>
  <si>
    <t>actual_hatch</t>
  </si>
  <si>
    <t>actual_fledge</t>
  </si>
  <si>
    <t>male_band_number</t>
  </si>
  <si>
    <t>female_band_number</t>
  </si>
  <si>
    <t>chick_band_number</t>
  </si>
  <si>
    <t>N</t>
  </si>
  <si>
    <t>NS 5</t>
  </si>
  <si>
    <t>NS 11</t>
  </si>
  <si>
    <t>Y</t>
  </si>
  <si>
    <t>Year</t>
  </si>
  <si>
    <t>Definition:</t>
  </si>
  <si>
    <t>Migration</t>
  </si>
  <si>
    <t>Date of First Spring Arrival</t>
  </si>
  <si>
    <t>Last Date seen in Fall</t>
  </si>
  <si>
    <t>Note for 2017: By box monitor, not for all of Bethel.</t>
  </si>
  <si>
    <t>Boxes</t>
  </si>
  <si>
    <t>Available Boxes</t>
  </si>
  <si>
    <t>during current study season</t>
  </si>
  <si>
    <t>Boxes Occupied*</t>
  </si>
  <si>
    <t># of Boxes with at least 1 egg laid</t>
  </si>
  <si>
    <t>Percent Occupied*</t>
  </si>
  <si>
    <t>Boxes Occupied/Available Boxes</t>
  </si>
  <si>
    <t># New Box Locations Installed</t>
  </si>
  <si>
    <t>New locations, not new boxes on old posts</t>
  </si>
  <si>
    <t>Eggs</t>
  </si>
  <si>
    <t>First Egg Date</t>
  </si>
  <si>
    <t>earliest date an egg was laid at study location</t>
  </si>
  <si>
    <t>Average Lay Date</t>
  </si>
  <si>
    <t>average date the first egg was laid across all boxes</t>
  </si>
  <si>
    <t>Total # of Eggs Laid</t>
  </si>
  <si>
    <t xml:space="preserve">Average Clutch Size </t>
  </si>
  <si>
    <t>(Total # of Eggs Laid)/Boxes Used</t>
  </si>
  <si>
    <t>Clutch Size Range</t>
  </si>
  <si>
    <t>Nestlings</t>
  </si>
  <si>
    <t>First Hatch Date</t>
  </si>
  <si>
    <t>earliest date a nestling hatched at study location</t>
  </si>
  <si>
    <t>Average Hatch Date</t>
  </si>
  <si>
    <t>average date the first nestling hatched across all boxes</t>
  </si>
  <si>
    <t>Average Length of Incubation</t>
  </si>
  <si>
    <t>Total # of Eggs Hatched</t>
  </si>
  <si>
    <t>Percentage of Eggs Hatched</t>
  </si>
  <si>
    <t>Total # of Eggs Hatched/Total # of Eggs Laid</t>
  </si>
  <si>
    <t>Average Brood Size at Hatch</t>
  </si>
  <si>
    <t>Total # of Eggs Hatched/Boxes Used</t>
  </si>
  <si>
    <t>Fledglings</t>
  </si>
  <si>
    <t>Total Number of Nestlings That Fledged</t>
  </si>
  <si>
    <t xml:space="preserve">(# Nestlings Banded + # Nestlings Unbanded) - dead nestling found immediatley post-fledge </t>
  </si>
  <si>
    <t>Percent of Eggs Laid that Fledged</t>
  </si>
  <si>
    <t>Total # of Nestlings Fledged/Total # Eggs Laid</t>
  </si>
  <si>
    <t>Percent of Nestlings That Fledged</t>
  </si>
  <si>
    <t>Total # of Nestlings Fledged/Total # of Eggs Hatched</t>
  </si>
  <si>
    <t>Average Age at Fledging</t>
  </si>
  <si>
    <t>Banding</t>
  </si>
  <si>
    <t># of Nestlings Unbanded</t>
  </si>
  <si>
    <t># of Nestlings Banded*</t>
  </si>
  <si>
    <t># of Newly Banded Adults*</t>
  </si>
  <si>
    <t># of Newly Banded Females</t>
  </si>
  <si>
    <t># of Newly Banded Males</t>
  </si>
  <si>
    <t># of Newly Banded Unknown Sex</t>
  </si>
  <si>
    <t>Shouldn't happen but may occur in past data</t>
  </si>
  <si>
    <t># of Returning Adults*</t>
  </si>
  <si>
    <t>Adults banded in a previous year</t>
  </si>
  <si>
    <t># of Recaptured Adults</t>
  </si>
  <si>
    <t xml:space="preserve">Adults banded and recaptured in same year; should not happen </t>
  </si>
  <si>
    <t>Nests</t>
  </si>
  <si>
    <t># failed during laying</t>
  </si>
  <si>
    <t># failed during incubation</t>
  </si>
  <si>
    <t># failed during nestling stage</t>
  </si>
  <si>
    <t># failed pre-banding nestling stage</t>
  </si>
  <si>
    <t># failed post-banding nestling stage</t>
  </si>
  <si>
    <t>Weather Summary</t>
  </si>
  <si>
    <t>example:  mostly dry, high temperatures (upper 80s, some low 90s) for about two weeks around the nestling period. Only a couple of patchy rain days (at early onset of hatching days and one day during nestling period). Cooled off (low 70s) just after the majority of nests were banded. Smoky for a couple of weeks (during the end of banding nests and the fledging period).</t>
  </si>
  <si>
    <t>* Info needed for IACUC</t>
  </si>
  <si>
    <t xml:space="preserve">CREW ID (initials) </t>
  </si>
  <si>
    <t>FULL NAME</t>
  </si>
  <si>
    <t>KMS</t>
  </si>
  <si>
    <t>Kristine Sowl</t>
  </si>
  <si>
    <t>Patrick Snow</t>
  </si>
  <si>
    <t>Joshua Klejka</t>
  </si>
  <si>
    <t>Claire Stuyck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</si>
</sst>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name val="Calibri"/>
      <family val="2"/>
    </font>
    <font>
      <b/>
      <sz val="12"/>
      <color rgb="FF000000"/>
      <name val="Calibri"/>
      <family val="2"/>
    </font>
    <font>
      <sz val="12"/>
      <color rgb="FFFF0000"/>
      <name val="Calibri"/>
      <family val="2"/>
    </font>
    <font>
      <sz val="12"/>
      <color rgb="FF000000"/>
      <name val="Calibri"/>
      <family val="2"/>
    </font>
  </fonts>
  <fills count="3">
    <fill>
      <patternFill patternType="none"/>
    </fill>
    <fill>
      <patternFill patternType="gray125"/>
    </fill>
    <fill>
      <patternFill patternType="solid">
        <fgColor rgb="FFFFFF00"/>
        <bgColor rgb="FF000000"/>
      </patternFill>
    </fill>
  </fills>
  <borders count="2">
    <border>
      <left/>
      <right/>
      <top/>
      <bottom/>
      <diagonal/>
    </border>
    <border>
      <left/>
      <right/>
      <top/>
      <bottom style="thin">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vertical="center"/>
    </xf>
    <xf numFmtId="14" fontId="0" fillId="0" borderId="0" xfId="0" applyNumberFormat="1"/>
    <xf numFmtId="14" fontId="0" fillId="0" borderId="0" xfId="0" applyNumberFormat="1" applyAlignment="1"/>
    <xf numFmtId="14" fontId="0" fillId="0" borderId="0" xfId="0" applyNumberFormat="1" applyBorder="1" applyAlignment="1"/>
    <xf numFmtId="0" fontId="0" fillId="0" borderId="0" xfId="0" applyAlignment="1"/>
    <xf numFmtId="0" fontId="1" fillId="0" borderId="0" xfId="0" applyFont="1" applyAlignment="1"/>
    <xf numFmtId="0" fontId="0" fillId="0" borderId="0" xfId="0" applyBorder="1" applyAlignment="1"/>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wrapText="1"/>
    </xf>
    <xf numFmtId="0" fontId="3" fillId="0" borderId="0" xfId="0" applyFont="1"/>
    <xf numFmtId="0" fontId="2" fillId="0" borderId="0" xfId="0" applyFont="1"/>
    <xf numFmtId="0" fontId="1" fillId="0" borderId="0" xfId="0" applyFont="1"/>
    <xf numFmtId="0" fontId="4" fillId="0" borderId="0" xfId="0" applyFont="1"/>
    <xf numFmtId="0" fontId="4" fillId="0" borderId="0" xfId="0" applyFont="1" applyAlignment="1">
      <alignment vertical="center" wrapText="1"/>
    </xf>
    <xf numFmtId="0" fontId="4" fillId="0" borderId="0" xfId="0" applyFont="1" applyAlignment="1">
      <alignment vertical="center"/>
    </xf>
    <xf numFmtId="14" fontId="4" fillId="0" borderId="0" xfId="0" applyNumberFormat="1" applyFont="1"/>
    <xf numFmtId="16" fontId="4" fillId="0" borderId="0" xfId="0" applyNumberFormat="1" applyFont="1"/>
    <xf numFmtId="2" fontId="4" fillId="0" borderId="0" xfId="0" applyNumberFormat="1" applyFont="1" applyAlignment="1">
      <alignment horizontal="right" vertical="center" wrapText="1"/>
    </xf>
    <xf numFmtId="2" fontId="4" fillId="0" borderId="0" xfId="0" applyNumberFormat="1" applyFont="1"/>
    <xf numFmtId="2" fontId="4" fillId="0" borderId="0" xfId="0" applyNumberFormat="1" applyFont="1" applyAlignment="1">
      <alignment horizontal="right"/>
    </xf>
    <xf numFmtId="0" fontId="4" fillId="2" borderId="0" xfId="0" applyFont="1" applyFill="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T:\Data\Share\Tree%20Swallow%20Nest%20Box%20Monitoring\Data\2017%20Data\TRES%20Bethel%20data_updated%2019Mar2018.xlsx" TargetMode="External"/><Relationship Id="rId1" Type="http://schemas.openxmlformats.org/officeDocument/2006/relationships/externalLinkPath" Target="file:///T:\Data\Share\Tree%20Swallow%20Nest%20Box%20Monitoring\Data\2017%20Data\TRES%20Bethel%20data_updated%2019Mar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ason Summary"/>
      <sheetName val="Nest Box Visits and Chronology"/>
      <sheetName val="Nestling Banding Data"/>
      <sheetName val="Adult New Banded"/>
      <sheetName val="Adult Recaptures"/>
      <sheetName val="Read Me"/>
      <sheetName val="BANDIT Chicks"/>
      <sheetName val="BANDIT Adult"/>
      <sheetName val="Sheet1"/>
    </sheetNames>
    <sheetDataSet>
      <sheetData sheetId="0"/>
      <sheetData sheetId="1">
        <row r="4">
          <cell r="F4">
            <v>13</v>
          </cell>
        </row>
        <row r="5">
          <cell r="F5">
            <v>18</v>
          </cell>
          <cell r="H5">
            <v>20</v>
          </cell>
        </row>
        <row r="6">
          <cell r="F6">
            <v>17</v>
          </cell>
          <cell r="H6">
            <v>21</v>
          </cell>
        </row>
        <row r="7">
          <cell r="F7">
            <v>16</v>
          </cell>
          <cell r="H7">
            <v>21</v>
          </cell>
        </row>
        <row r="8">
          <cell r="F8">
            <v>14</v>
          </cell>
          <cell r="H8">
            <v>22</v>
          </cell>
        </row>
        <row r="9">
          <cell r="F9">
            <v>15</v>
          </cell>
          <cell r="H9">
            <v>20</v>
          </cell>
        </row>
        <row r="10">
          <cell r="F10">
            <v>16</v>
          </cell>
          <cell r="H10">
            <v>25</v>
          </cell>
        </row>
        <row r="11">
          <cell r="F11">
            <v>15</v>
          </cell>
          <cell r="H11">
            <v>22</v>
          </cell>
        </row>
        <row r="12">
          <cell r="F12">
            <v>17</v>
          </cell>
          <cell r="H12">
            <v>21</v>
          </cell>
        </row>
        <row r="13">
          <cell r="F13">
            <v>17</v>
          </cell>
          <cell r="H13">
            <v>18</v>
          </cell>
        </row>
        <row r="14">
          <cell r="F14">
            <v>17</v>
          </cell>
          <cell r="H14">
            <v>23</v>
          </cell>
        </row>
        <row r="15">
          <cell r="F15">
            <v>15</v>
          </cell>
          <cell r="H15">
            <v>21</v>
          </cell>
        </row>
        <row r="16">
          <cell r="F16">
            <v>15</v>
          </cell>
          <cell r="H16">
            <v>22</v>
          </cell>
        </row>
        <row r="17">
          <cell r="F17">
            <v>15</v>
          </cell>
          <cell r="H17">
            <v>25</v>
          </cell>
        </row>
        <row r="18">
          <cell r="F18">
            <v>16</v>
          </cell>
          <cell r="H18" t="str">
            <v>-</v>
          </cell>
        </row>
        <row r="19">
          <cell r="F19">
            <v>17</v>
          </cell>
          <cell r="H19">
            <v>22</v>
          </cell>
        </row>
        <row r="20">
          <cell r="F20">
            <v>15</v>
          </cell>
          <cell r="H20">
            <v>22</v>
          </cell>
        </row>
        <row r="21">
          <cell r="F21">
            <v>17</v>
          </cell>
          <cell r="H21">
            <v>21</v>
          </cell>
        </row>
        <row r="22">
          <cell r="F22">
            <v>14</v>
          </cell>
          <cell r="H22">
            <v>24</v>
          </cell>
        </row>
        <row r="23">
          <cell r="F23">
            <v>17</v>
          </cell>
          <cell r="H23">
            <v>20</v>
          </cell>
        </row>
        <row r="24">
          <cell r="F24">
            <v>16</v>
          </cell>
          <cell r="H24">
            <v>25</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F0DE-8046-47B1-8752-0A1E9DE2B4C9}">
  <dimension ref="A1:X22"/>
  <sheetViews>
    <sheetView tabSelected="1" workbookViewId="0">
      <selection activeCell="C14" sqref="C14"/>
    </sheetView>
  </sheetViews>
  <sheetFormatPr defaultRowHeight="14.5" x14ac:dyDescent="0.35"/>
  <cols>
    <col min="1" max="1" width="11.26953125" bestFit="1" customWidth="1"/>
    <col min="5" max="5" width="13.08984375" bestFit="1" customWidth="1"/>
    <col min="6" max="6" width="15" bestFit="1" customWidth="1"/>
    <col min="7" max="7" width="14.7265625" bestFit="1" customWidth="1"/>
    <col min="8" max="8" width="16.7265625" bestFit="1" customWidth="1"/>
    <col min="9" max="9" width="14.81640625" bestFit="1" customWidth="1"/>
    <col min="10" max="10" width="14.54296875" bestFit="1" customWidth="1"/>
    <col min="11" max="11" width="14.54296875" customWidth="1"/>
    <col min="12" max="12" width="14.81640625" bestFit="1" customWidth="1"/>
    <col min="13" max="14" width="14.81640625" customWidth="1"/>
    <col min="15" max="15" width="12.08984375" bestFit="1" customWidth="1"/>
    <col min="16" max="16" width="15.26953125" bestFit="1" customWidth="1"/>
    <col min="17" max="17" width="14.54296875" bestFit="1" customWidth="1"/>
    <col min="18" max="18" width="13.36328125" bestFit="1" customWidth="1"/>
    <col min="19" max="19" width="17.1796875" bestFit="1" customWidth="1"/>
    <col min="20" max="20" width="17.1796875" customWidth="1"/>
    <col min="21" max="21" width="18.6328125" bestFit="1" customWidth="1"/>
    <col min="22" max="22" width="18.6328125" customWidth="1"/>
    <col min="23" max="23" width="18.36328125" bestFit="1" customWidth="1"/>
    <col min="24" max="24" width="9.90625" bestFit="1" customWidth="1"/>
  </cols>
  <sheetData>
    <row r="1" spans="1:24" s="1" customFormat="1" ht="35.5" customHeight="1" x14ac:dyDescent="0.35">
      <c r="A1" s="1" t="s">
        <v>0</v>
      </c>
      <c r="B1" s="1" t="s">
        <v>1</v>
      </c>
      <c r="C1" s="1" t="s">
        <v>2</v>
      </c>
      <c r="D1" s="1" t="s">
        <v>18</v>
      </c>
      <c r="E1" s="1" t="s">
        <v>3</v>
      </c>
      <c r="F1" s="1" t="s">
        <v>4</v>
      </c>
      <c r="G1" s="1" t="s">
        <v>5</v>
      </c>
      <c r="H1" s="1" t="s">
        <v>6</v>
      </c>
      <c r="I1" s="1" t="s">
        <v>7</v>
      </c>
      <c r="J1" s="1" t="s">
        <v>8</v>
      </c>
      <c r="K1" s="1" t="s">
        <v>21</v>
      </c>
      <c r="L1" s="1" t="s">
        <v>9</v>
      </c>
      <c r="M1" s="1" t="s">
        <v>22</v>
      </c>
      <c r="N1" s="1" t="s">
        <v>17</v>
      </c>
      <c r="O1" s="1" t="s">
        <v>10</v>
      </c>
      <c r="P1" s="1" t="s">
        <v>11</v>
      </c>
      <c r="Q1" s="1" t="s">
        <v>12</v>
      </c>
      <c r="R1" s="1" t="s">
        <v>13</v>
      </c>
      <c r="S1" s="1" t="s">
        <v>14</v>
      </c>
      <c r="T1" s="1" t="s">
        <v>23</v>
      </c>
      <c r="U1" s="1" t="s">
        <v>15</v>
      </c>
      <c r="V1" s="1" t="s">
        <v>24</v>
      </c>
      <c r="W1" s="1" t="s">
        <v>16</v>
      </c>
      <c r="X1" s="1" t="s">
        <v>25</v>
      </c>
    </row>
    <row r="2" spans="1:24" x14ac:dyDescent="0.35">
      <c r="A2">
        <v>1</v>
      </c>
      <c r="B2" t="s">
        <v>19</v>
      </c>
      <c r="C2" t="s">
        <v>20</v>
      </c>
      <c r="D2">
        <v>2017</v>
      </c>
      <c r="E2" s="2"/>
      <c r="G2" s="2">
        <v>42886</v>
      </c>
      <c r="K2" s="2">
        <v>42903</v>
      </c>
      <c r="N2" t="s">
        <v>26</v>
      </c>
      <c r="O2">
        <v>5</v>
      </c>
      <c r="P2">
        <v>5</v>
      </c>
      <c r="Q2">
        <v>0</v>
      </c>
    </row>
    <row r="3" spans="1:24" x14ac:dyDescent="0.35">
      <c r="A3">
        <v>2</v>
      </c>
      <c r="B3" t="s">
        <v>19</v>
      </c>
      <c r="C3" t="s">
        <v>20</v>
      </c>
      <c r="D3">
        <v>2017</v>
      </c>
      <c r="G3" s="3">
        <v>42874</v>
      </c>
      <c r="K3" s="3">
        <v>42897</v>
      </c>
      <c r="N3" t="s">
        <v>29</v>
      </c>
      <c r="O3" s="5">
        <v>6</v>
      </c>
      <c r="P3" s="5">
        <v>5</v>
      </c>
      <c r="Q3" s="5">
        <v>5</v>
      </c>
    </row>
    <row r="4" spans="1:24" x14ac:dyDescent="0.35">
      <c r="A4">
        <v>4</v>
      </c>
      <c r="B4" t="s">
        <v>19</v>
      </c>
      <c r="C4" t="s">
        <v>20</v>
      </c>
      <c r="D4">
        <v>2017</v>
      </c>
      <c r="G4" s="3">
        <v>42876</v>
      </c>
      <c r="K4" s="3">
        <v>42898</v>
      </c>
      <c r="N4" t="s">
        <v>29</v>
      </c>
      <c r="O4" s="5">
        <v>6</v>
      </c>
      <c r="P4" s="5">
        <v>5</v>
      </c>
      <c r="Q4" s="5">
        <v>3</v>
      </c>
    </row>
    <row r="5" spans="1:24" x14ac:dyDescent="0.35">
      <c r="A5">
        <v>5</v>
      </c>
      <c r="B5" t="s">
        <v>19</v>
      </c>
      <c r="C5" t="s">
        <v>20</v>
      </c>
      <c r="D5">
        <v>2017</v>
      </c>
      <c r="G5" s="3">
        <v>42879</v>
      </c>
      <c r="K5" s="3">
        <v>42897</v>
      </c>
      <c r="N5" t="s">
        <v>29</v>
      </c>
      <c r="O5" s="5">
        <v>6</v>
      </c>
      <c r="P5" s="5">
        <v>3</v>
      </c>
      <c r="Q5" s="5">
        <v>3</v>
      </c>
    </row>
    <row r="6" spans="1:24" x14ac:dyDescent="0.35">
      <c r="A6">
        <v>6</v>
      </c>
      <c r="B6" t="s">
        <v>19</v>
      </c>
      <c r="C6" t="s">
        <v>20</v>
      </c>
      <c r="D6">
        <v>2017</v>
      </c>
      <c r="G6" s="3">
        <v>42878</v>
      </c>
      <c r="K6" s="3">
        <v>42898</v>
      </c>
      <c r="N6" t="s">
        <v>29</v>
      </c>
      <c r="O6" s="5">
        <v>7</v>
      </c>
      <c r="P6" s="5">
        <v>7</v>
      </c>
      <c r="Q6" s="5">
        <v>6</v>
      </c>
    </row>
    <row r="7" spans="1:24" x14ac:dyDescent="0.35">
      <c r="A7">
        <v>10</v>
      </c>
      <c r="B7" t="s">
        <v>19</v>
      </c>
      <c r="C7" t="s">
        <v>20</v>
      </c>
      <c r="D7">
        <v>2017</v>
      </c>
      <c r="G7" s="3">
        <v>42879</v>
      </c>
      <c r="K7" s="3">
        <v>42898</v>
      </c>
      <c r="N7" t="s">
        <v>29</v>
      </c>
      <c r="O7" s="5">
        <v>6</v>
      </c>
      <c r="P7" s="5">
        <v>6</v>
      </c>
      <c r="Q7" s="5">
        <v>6</v>
      </c>
    </row>
    <row r="8" spans="1:24" x14ac:dyDescent="0.35">
      <c r="A8">
        <v>11</v>
      </c>
      <c r="B8" t="s">
        <v>19</v>
      </c>
      <c r="C8" t="s">
        <v>20</v>
      </c>
      <c r="D8">
        <v>2017</v>
      </c>
      <c r="G8" s="3">
        <v>42888</v>
      </c>
      <c r="K8" s="3">
        <v>42906</v>
      </c>
      <c r="N8" t="s">
        <v>29</v>
      </c>
      <c r="O8" s="5">
        <v>5</v>
      </c>
      <c r="P8" s="5">
        <v>3</v>
      </c>
      <c r="Q8" s="5">
        <v>1</v>
      </c>
    </row>
    <row r="9" spans="1:24" x14ac:dyDescent="0.35">
      <c r="A9">
        <v>12</v>
      </c>
      <c r="B9" t="s">
        <v>19</v>
      </c>
      <c r="C9" t="s">
        <v>20</v>
      </c>
      <c r="D9">
        <v>2017</v>
      </c>
      <c r="G9" s="3">
        <v>42886</v>
      </c>
      <c r="K9" s="3">
        <v>42904</v>
      </c>
      <c r="N9" t="s">
        <v>29</v>
      </c>
      <c r="O9" s="5">
        <v>6</v>
      </c>
      <c r="P9" s="5">
        <v>6</v>
      </c>
      <c r="Q9" s="5">
        <v>5</v>
      </c>
    </row>
    <row r="10" spans="1:24" x14ac:dyDescent="0.35">
      <c r="A10">
        <v>13</v>
      </c>
      <c r="B10" t="s">
        <v>19</v>
      </c>
      <c r="C10" t="s">
        <v>20</v>
      </c>
      <c r="D10">
        <v>2017</v>
      </c>
      <c r="G10" s="3">
        <v>42878</v>
      </c>
      <c r="K10" s="3">
        <v>42898</v>
      </c>
      <c r="N10" t="s">
        <v>29</v>
      </c>
      <c r="O10" s="5">
        <v>6</v>
      </c>
      <c r="P10" s="5">
        <v>4</v>
      </c>
      <c r="Q10" s="5">
        <v>4</v>
      </c>
    </row>
    <row r="11" spans="1:24" x14ac:dyDescent="0.35">
      <c r="A11">
        <v>14</v>
      </c>
      <c r="B11" t="s">
        <v>19</v>
      </c>
      <c r="C11" t="s">
        <v>20</v>
      </c>
      <c r="D11">
        <v>2017</v>
      </c>
      <c r="G11" s="3">
        <v>42887</v>
      </c>
      <c r="K11" s="3">
        <v>42912</v>
      </c>
      <c r="N11" t="s">
        <v>29</v>
      </c>
      <c r="O11" s="5">
        <v>6</v>
      </c>
      <c r="P11" s="5">
        <v>5</v>
      </c>
      <c r="Q11" s="5">
        <v>5</v>
      </c>
    </row>
    <row r="12" spans="1:24" x14ac:dyDescent="0.35">
      <c r="A12">
        <v>15</v>
      </c>
      <c r="B12" t="s">
        <v>19</v>
      </c>
      <c r="C12" t="s">
        <v>20</v>
      </c>
      <c r="D12">
        <v>2017</v>
      </c>
      <c r="G12" s="3">
        <v>42887</v>
      </c>
      <c r="K12" s="3">
        <v>42905</v>
      </c>
      <c r="N12" t="s">
        <v>29</v>
      </c>
      <c r="O12" s="5">
        <v>6</v>
      </c>
      <c r="P12" s="5">
        <v>6</v>
      </c>
      <c r="Q12" s="5">
        <v>6</v>
      </c>
    </row>
    <row r="13" spans="1:24" x14ac:dyDescent="0.35">
      <c r="A13">
        <v>18</v>
      </c>
      <c r="B13" t="s">
        <v>19</v>
      </c>
      <c r="C13" t="s">
        <v>20</v>
      </c>
      <c r="D13">
        <v>2017</v>
      </c>
      <c r="G13" s="3">
        <v>42886</v>
      </c>
      <c r="K13" s="3">
        <v>42905</v>
      </c>
      <c r="N13" t="s">
        <v>29</v>
      </c>
      <c r="O13" s="5">
        <v>7</v>
      </c>
      <c r="P13" s="5">
        <v>6</v>
      </c>
      <c r="Q13" s="5">
        <v>5</v>
      </c>
    </row>
    <row r="14" spans="1:24" ht="15.5" x14ac:dyDescent="0.35">
      <c r="A14">
        <v>19</v>
      </c>
      <c r="B14" t="s">
        <v>19</v>
      </c>
      <c r="C14" t="s">
        <v>20</v>
      </c>
      <c r="D14">
        <v>2017</v>
      </c>
      <c r="G14" s="3">
        <v>42885</v>
      </c>
      <c r="K14" s="3">
        <v>42903</v>
      </c>
      <c r="N14" t="s">
        <v>29</v>
      </c>
      <c r="O14" s="5">
        <v>7</v>
      </c>
      <c r="P14" s="5">
        <v>4</v>
      </c>
      <c r="Q14" s="6">
        <v>4</v>
      </c>
    </row>
    <row r="15" spans="1:24" x14ac:dyDescent="0.35">
      <c r="A15">
        <v>21</v>
      </c>
      <c r="B15" t="s">
        <v>19</v>
      </c>
      <c r="C15" t="s">
        <v>20</v>
      </c>
      <c r="D15">
        <v>2017</v>
      </c>
      <c r="G15" s="3">
        <v>42878</v>
      </c>
      <c r="K15" s="3">
        <v>42899</v>
      </c>
      <c r="N15" t="s">
        <v>29</v>
      </c>
      <c r="O15" s="5">
        <v>7</v>
      </c>
      <c r="P15" s="5">
        <v>7</v>
      </c>
      <c r="Q15" s="5">
        <v>3</v>
      </c>
    </row>
    <row r="16" spans="1:24" x14ac:dyDescent="0.35">
      <c r="A16">
        <v>22</v>
      </c>
      <c r="B16" t="s">
        <v>19</v>
      </c>
      <c r="C16" t="s">
        <v>20</v>
      </c>
      <c r="D16">
        <v>2017</v>
      </c>
      <c r="G16" s="3">
        <v>42886</v>
      </c>
      <c r="K16" s="3">
        <v>42906</v>
      </c>
      <c r="N16" t="s">
        <v>26</v>
      </c>
      <c r="O16" s="5">
        <v>7</v>
      </c>
      <c r="P16" s="5">
        <v>7</v>
      </c>
      <c r="Q16" s="5">
        <v>0</v>
      </c>
    </row>
    <row r="17" spans="1:17" x14ac:dyDescent="0.35">
      <c r="A17">
        <v>24</v>
      </c>
      <c r="B17" t="s">
        <v>19</v>
      </c>
      <c r="C17" t="s">
        <v>20</v>
      </c>
      <c r="D17">
        <v>2017</v>
      </c>
      <c r="G17" s="3">
        <v>42879</v>
      </c>
      <c r="K17" s="3">
        <v>42899</v>
      </c>
      <c r="N17" t="s">
        <v>29</v>
      </c>
      <c r="O17" s="5">
        <v>7</v>
      </c>
      <c r="P17" s="5">
        <v>6</v>
      </c>
      <c r="Q17" s="5">
        <v>3</v>
      </c>
    </row>
    <row r="18" spans="1:17" x14ac:dyDescent="0.35">
      <c r="A18">
        <v>26</v>
      </c>
      <c r="B18" t="s">
        <v>19</v>
      </c>
      <c r="C18" t="s">
        <v>20</v>
      </c>
      <c r="D18">
        <v>2017</v>
      </c>
      <c r="G18" s="3">
        <v>42887</v>
      </c>
      <c r="K18" s="3">
        <v>42905</v>
      </c>
      <c r="N18" t="s">
        <v>29</v>
      </c>
      <c r="O18" s="5">
        <v>7</v>
      </c>
      <c r="P18" s="5">
        <v>6</v>
      </c>
      <c r="Q18" s="5">
        <v>6</v>
      </c>
    </row>
    <row r="19" spans="1:17" x14ac:dyDescent="0.35">
      <c r="A19">
        <v>27</v>
      </c>
      <c r="B19" t="s">
        <v>19</v>
      </c>
      <c r="C19" t="s">
        <v>20</v>
      </c>
      <c r="D19">
        <v>2017</v>
      </c>
      <c r="G19" s="3">
        <v>42883</v>
      </c>
      <c r="K19" s="3">
        <v>42903</v>
      </c>
      <c r="N19" t="s">
        <v>29</v>
      </c>
      <c r="O19" s="5">
        <v>7</v>
      </c>
      <c r="P19" s="5">
        <v>5</v>
      </c>
      <c r="Q19" s="5">
        <v>5</v>
      </c>
    </row>
    <row r="20" spans="1:17" x14ac:dyDescent="0.35">
      <c r="A20">
        <v>29</v>
      </c>
      <c r="B20" t="s">
        <v>19</v>
      </c>
      <c r="C20" t="s">
        <v>20</v>
      </c>
      <c r="D20">
        <v>2017</v>
      </c>
      <c r="G20" s="3">
        <v>42885</v>
      </c>
      <c r="K20" s="3">
        <v>42904</v>
      </c>
      <c r="N20" t="s">
        <v>29</v>
      </c>
      <c r="O20" s="5">
        <v>6</v>
      </c>
      <c r="P20" s="5">
        <v>6</v>
      </c>
      <c r="Q20" s="5">
        <v>6</v>
      </c>
    </row>
    <row r="21" spans="1:17" x14ac:dyDescent="0.35">
      <c r="A21" t="s">
        <v>27</v>
      </c>
      <c r="B21" t="s">
        <v>19</v>
      </c>
      <c r="C21" t="s">
        <v>20</v>
      </c>
      <c r="D21">
        <v>2017</v>
      </c>
      <c r="G21" s="3">
        <v>42882</v>
      </c>
      <c r="K21" s="3">
        <v>42900</v>
      </c>
      <c r="N21" t="s">
        <v>29</v>
      </c>
      <c r="O21" s="5">
        <v>5</v>
      </c>
      <c r="P21" s="5">
        <v>5</v>
      </c>
      <c r="Q21" s="5">
        <v>5</v>
      </c>
    </row>
    <row r="22" spans="1:17" x14ac:dyDescent="0.35">
      <c r="A22" t="s">
        <v>28</v>
      </c>
      <c r="B22" t="s">
        <v>19</v>
      </c>
      <c r="C22" t="s">
        <v>20</v>
      </c>
      <c r="D22">
        <v>2017</v>
      </c>
      <c r="G22" s="4">
        <v>42887</v>
      </c>
      <c r="K22" s="4">
        <v>42905</v>
      </c>
      <c r="N22" t="s">
        <v>29</v>
      </c>
      <c r="O22" s="7">
        <v>5</v>
      </c>
      <c r="P22" s="7">
        <v>4</v>
      </c>
      <c r="Q22" s="7">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B369-E074-4CF1-B8AA-E24D4DE1986A}">
  <dimension ref="A1:D58"/>
  <sheetViews>
    <sheetView workbookViewId="0">
      <selection activeCell="I25" sqref="I25"/>
    </sheetView>
  </sheetViews>
  <sheetFormatPr defaultColWidth="12.26953125" defaultRowHeight="15.5" x14ac:dyDescent="0.35"/>
  <cols>
    <col min="1" max="1" width="35.81640625" style="15" customWidth="1"/>
    <col min="2" max="2" width="53.54296875" style="15" customWidth="1"/>
    <col min="3" max="3" width="14.453125" style="15" customWidth="1"/>
    <col min="4" max="13" width="12" style="15" customWidth="1"/>
    <col min="14" max="21" width="14.7265625" style="15" customWidth="1"/>
    <col min="22" max="16384" width="12.26953125" style="15"/>
  </cols>
  <sheetData>
    <row r="1" spans="1:4" x14ac:dyDescent="0.35">
      <c r="A1" s="8" t="s">
        <v>30</v>
      </c>
      <c r="B1" s="9" t="s">
        <v>31</v>
      </c>
      <c r="C1" s="10" t="s">
        <v>20</v>
      </c>
    </row>
    <row r="2" spans="1:4" x14ac:dyDescent="0.35">
      <c r="A2" s="8"/>
      <c r="B2" s="11"/>
      <c r="D2" s="10"/>
    </row>
    <row r="3" spans="1:4" x14ac:dyDescent="0.35">
      <c r="A3" s="8" t="s">
        <v>32</v>
      </c>
      <c r="B3" s="16"/>
    </row>
    <row r="4" spans="1:4" x14ac:dyDescent="0.35">
      <c r="A4" s="17" t="s">
        <v>33</v>
      </c>
      <c r="B4" s="16"/>
      <c r="C4" s="18">
        <v>42856</v>
      </c>
    </row>
    <row r="5" spans="1:4" x14ac:dyDescent="0.35">
      <c r="A5" s="17" t="s">
        <v>34</v>
      </c>
      <c r="B5" s="12" t="s">
        <v>35</v>
      </c>
      <c r="C5" s="18">
        <v>42930</v>
      </c>
    </row>
    <row r="6" spans="1:4" x14ac:dyDescent="0.35">
      <c r="A6" s="17"/>
      <c r="B6" s="16"/>
    </row>
    <row r="7" spans="1:4" x14ac:dyDescent="0.35">
      <c r="A7" s="8" t="s">
        <v>36</v>
      </c>
      <c r="B7" s="11"/>
    </row>
    <row r="8" spans="1:4" x14ac:dyDescent="0.35">
      <c r="A8" s="17" t="s">
        <v>37</v>
      </c>
      <c r="B8" s="16" t="s">
        <v>38</v>
      </c>
      <c r="C8" s="15">
        <v>32</v>
      </c>
    </row>
    <row r="9" spans="1:4" x14ac:dyDescent="0.35">
      <c r="A9" s="17" t="s">
        <v>39</v>
      </c>
      <c r="B9" s="16" t="s">
        <v>40</v>
      </c>
      <c r="C9" s="15">
        <v>21</v>
      </c>
    </row>
    <row r="10" spans="1:4" x14ac:dyDescent="0.35">
      <c r="A10" s="17" t="s">
        <v>41</v>
      </c>
      <c r="B10" s="16" t="s">
        <v>42</v>
      </c>
      <c r="C10" s="15">
        <v>66</v>
      </c>
    </row>
    <row r="11" spans="1:4" x14ac:dyDescent="0.35">
      <c r="A11" s="17" t="s">
        <v>43</v>
      </c>
      <c r="B11" s="16" t="s">
        <v>44</v>
      </c>
      <c r="C11" s="15">
        <v>16</v>
      </c>
    </row>
    <row r="12" spans="1:4" x14ac:dyDescent="0.35">
      <c r="A12" s="17"/>
      <c r="B12" s="16"/>
    </row>
    <row r="13" spans="1:4" x14ac:dyDescent="0.35">
      <c r="A13" s="8" t="s">
        <v>45</v>
      </c>
      <c r="B13" s="11"/>
    </row>
    <row r="14" spans="1:4" x14ac:dyDescent="0.35">
      <c r="A14" s="17" t="s">
        <v>46</v>
      </c>
      <c r="B14" s="16" t="s">
        <v>47</v>
      </c>
      <c r="C14" s="19">
        <v>42874</v>
      </c>
    </row>
    <row r="15" spans="1:4" x14ac:dyDescent="0.35">
      <c r="A15" s="17" t="s">
        <v>48</v>
      </c>
      <c r="B15" s="16" t="s">
        <v>49</v>
      </c>
      <c r="C15" s="19">
        <v>42884</v>
      </c>
    </row>
    <row r="16" spans="1:4" x14ac:dyDescent="0.35">
      <c r="A16" s="17" t="s">
        <v>50</v>
      </c>
      <c r="B16" s="16"/>
      <c r="C16" s="15">
        <v>130</v>
      </c>
    </row>
    <row r="17" spans="1:3" x14ac:dyDescent="0.35">
      <c r="A17" s="17" t="s">
        <v>51</v>
      </c>
      <c r="B17" s="16" t="s">
        <v>52</v>
      </c>
      <c r="C17" s="20">
        <f>C16/C9</f>
        <v>6.1904761904761907</v>
      </c>
    </row>
    <row r="18" spans="1:3" x14ac:dyDescent="0.35">
      <c r="A18" s="17" t="s">
        <v>53</v>
      </c>
      <c r="B18" s="16"/>
      <c r="C18" s="15">
        <v>2</v>
      </c>
    </row>
    <row r="19" spans="1:3" x14ac:dyDescent="0.35">
      <c r="A19" s="17"/>
      <c r="B19" s="16"/>
    </row>
    <row r="20" spans="1:3" x14ac:dyDescent="0.35">
      <c r="A20" s="8" t="s">
        <v>54</v>
      </c>
      <c r="B20" s="11"/>
    </row>
    <row r="21" spans="1:3" x14ac:dyDescent="0.35">
      <c r="A21" s="17" t="s">
        <v>55</v>
      </c>
      <c r="B21" s="16" t="s">
        <v>56</v>
      </c>
      <c r="C21" s="19">
        <v>42897</v>
      </c>
    </row>
    <row r="22" spans="1:3" x14ac:dyDescent="0.35">
      <c r="A22" s="17" t="s">
        <v>57</v>
      </c>
      <c r="B22" s="16" t="s">
        <v>58</v>
      </c>
      <c r="C22" s="19">
        <v>42902</v>
      </c>
    </row>
    <row r="23" spans="1:3" x14ac:dyDescent="0.35">
      <c r="A23" s="17" t="s">
        <v>59</v>
      </c>
      <c r="B23" s="16"/>
      <c r="C23" s="20">
        <f>AVERAGE('[1]Nest Box Visits and Chronology'!F4:F24)</f>
        <v>15.80952380952381</v>
      </c>
    </row>
    <row r="24" spans="1:3" x14ac:dyDescent="0.35">
      <c r="A24" s="17" t="s">
        <v>60</v>
      </c>
      <c r="B24" s="16"/>
      <c r="C24" s="15">
        <v>111</v>
      </c>
    </row>
    <row r="25" spans="1:3" x14ac:dyDescent="0.35">
      <c r="A25" s="17" t="s">
        <v>61</v>
      </c>
      <c r="B25" s="16" t="s">
        <v>62</v>
      </c>
      <c r="C25" s="21">
        <f>C24/C16</f>
        <v>0.85384615384615381</v>
      </c>
    </row>
    <row r="26" spans="1:3" x14ac:dyDescent="0.35">
      <c r="A26" s="17" t="s">
        <v>63</v>
      </c>
      <c r="B26" s="16" t="s">
        <v>64</v>
      </c>
      <c r="C26" s="21">
        <f>C24/C9</f>
        <v>5.2857142857142856</v>
      </c>
    </row>
    <row r="27" spans="1:3" x14ac:dyDescent="0.35">
      <c r="A27" s="17"/>
      <c r="B27" s="16"/>
    </row>
    <row r="28" spans="1:3" x14ac:dyDescent="0.35">
      <c r="A28" s="8" t="s">
        <v>65</v>
      </c>
      <c r="B28" s="11"/>
    </row>
    <row r="29" spans="1:3" ht="30" customHeight="1" x14ac:dyDescent="0.35">
      <c r="A29" s="17" t="s">
        <v>66</v>
      </c>
      <c r="B29" s="16" t="s">
        <v>67</v>
      </c>
      <c r="C29" s="15">
        <v>85</v>
      </c>
    </row>
    <row r="30" spans="1:3" x14ac:dyDescent="0.35">
      <c r="A30" s="17" t="s">
        <v>68</v>
      </c>
      <c r="B30" s="16" t="s">
        <v>69</v>
      </c>
      <c r="C30" s="22">
        <f>C29/C16</f>
        <v>0.65384615384615385</v>
      </c>
    </row>
    <row r="31" spans="1:3" x14ac:dyDescent="0.35">
      <c r="A31" s="17" t="s">
        <v>70</v>
      </c>
      <c r="B31" s="16" t="s">
        <v>71</v>
      </c>
      <c r="C31" s="22">
        <f>C29/C24</f>
        <v>0.76576576576576572</v>
      </c>
    </row>
    <row r="32" spans="1:3" x14ac:dyDescent="0.35">
      <c r="A32" s="17" t="s">
        <v>72</v>
      </c>
      <c r="B32" s="16"/>
      <c r="C32" s="20">
        <f>AVERAGE('[1]Nest Box Visits and Chronology'!H5:H24)</f>
        <v>21.842105263157894</v>
      </c>
    </row>
    <row r="33" spans="1:3" x14ac:dyDescent="0.35">
      <c r="A33" s="17"/>
      <c r="B33" s="16"/>
    </row>
    <row r="34" spans="1:3" x14ac:dyDescent="0.35">
      <c r="A34" s="8" t="s">
        <v>73</v>
      </c>
      <c r="B34" s="16"/>
    </row>
    <row r="35" spans="1:3" x14ac:dyDescent="0.35">
      <c r="A35" s="17" t="s">
        <v>74</v>
      </c>
      <c r="B35" s="16"/>
      <c r="C35" s="23">
        <v>31</v>
      </c>
    </row>
    <row r="36" spans="1:3" x14ac:dyDescent="0.35">
      <c r="A36" s="17" t="s">
        <v>75</v>
      </c>
      <c r="B36" s="16"/>
      <c r="C36" s="23">
        <v>80</v>
      </c>
    </row>
    <row r="37" spans="1:3" x14ac:dyDescent="0.35">
      <c r="A37" s="17" t="s">
        <v>76</v>
      </c>
      <c r="B37" s="16"/>
      <c r="C37" s="15">
        <v>41</v>
      </c>
    </row>
    <row r="38" spans="1:3" x14ac:dyDescent="0.35">
      <c r="A38" s="17" t="s">
        <v>77</v>
      </c>
      <c r="B38" s="16"/>
      <c r="C38" s="15">
        <v>21</v>
      </c>
    </row>
    <row r="39" spans="1:3" x14ac:dyDescent="0.35">
      <c r="A39" s="17" t="s">
        <v>78</v>
      </c>
      <c r="B39" s="16"/>
      <c r="C39" s="15">
        <v>20</v>
      </c>
    </row>
    <row r="40" spans="1:3" x14ac:dyDescent="0.35">
      <c r="A40" s="17" t="s">
        <v>79</v>
      </c>
      <c r="B40" s="16" t="s">
        <v>80</v>
      </c>
      <c r="C40" s="15">
        <v>0</v>
      </c>
    </row>
    <row r="41" spans="1:3" x14ac:dyDescent="0.35">
      <c r="A41" s="17" t="s">
        <v>81</v>
      </c>
      <c r="B41" s="16" t="s">
        <v>82</v>
      </c>
      <c r="C41" s="15">
        <v>0</v>
      </c>
    </row>
    <row r="42" spans="1:3" ht="30" customHeight="1" x14ac:dyDescent="0.35">
      <c r="A42" s="17" t="s">
        <v>83</v>
      </c>
      <c r="B42" s="16" t="s">
        <v>84</v>
      </c>
      <c r="C42" s="15">
        <v>0</v>
      </c>
    </row>
    <row r="43" spans="1:3" x14ac:dyDescent="0.35">
      <c r="A43" s="17"/>
      <c r="B43" s="16"/>
    </row>
    <row r="44" spans="1:3" x14ac:dyDescent="0.35">
      <c r="A44" s="8" t="s">
        <v>85</v>
      </c>
      <c r="B44" s="16"/>
    </row>
    <row r="45" spans="1:3" x14ac:dyDescent="0.35">
      <c r="A45" s="17" t="s">
        <v>86</v>
      </c>
      <c r="B45" s="16"/>
      <c r="C45" s="15">
        <v>0</v>
      </c>
    </row>
    <row r="46" spans="1:3" x14ac:dyDescent="0.35">
      <c r="A46" s="17" t="s">
        <v>87</v>
      </c>
      <c r="B46" s="16"/>
      <c r="C46" s="15">
        <v>0</v>
      </c>
    </row>
    <row r="47" spans="1:3" x14ac:dyDescent="0.35">
      <c r="A47" s="17" t="s">
        <v>88</v>
      </c>
      <c r="B47" s="16"/>
      <c r="C47" s="15">
        <v>2</v>
      </c>
    </row>
    <row r="48" spans="1:3" x14ac:dyDescent="0.35">
      <c r="A48" s="17" t="s">
        <v>89</v>
      </c>
      <c r="B48" s="16"/>
      <c r="C48" s="15">
        <v>2</v>
      </c>
    </row>
    <row r="49" spans="1:3" x14ac:dyDescent="0.35">
      <c r="A49" s="17" t="s">
        <v>90</v>
      </c>
      <c r="B49" s="16"/>
      <c r="C49" s="15">
        <v>0</v>
      </c>
    </row>
    <row r="50" spans="1:3" x14ac:dyDescent="0.35">
      <c r="A50" s="17"/>
      <c r="B50" s="16"/>
    </row>
    <row r="51" spans="1:3" ht="110.25" customHeight="1" x14ac:dyDescent="0.35">
      <c r="A51" s="17" t="s">
        <v>91</v>
      </c>
      <c r="B51" s="16" t="s">
        <v>92</v>
      </c>
    </row>
    <row r="52" spans="1:3" x14ac:dyDescent="0.35">
      <c r="A52" s="8" t="s">
        <v>93</v>
      </c>
      <c r="B52" s="11"/>
    </row>
    <row r="53" spans="1:3" x14ac:dyDescent="0.35">
      <c r="A53" s="17"/>
      <c r="B53" s="16"/>
    </row>
    <row r="54" spans="1:3" x14ac:dyDescent="0.35">
      <c r="A54" s="13" t="s">
        <v>94</v>
      </c>
      <c r="B54" s="14" t="s">
        <v>95</v>
      </c>
    </row>
    <row r="55" spans="1:3" x14ac:dyDescent="0.35">
      <c r="A55" s="17" t="s">
        <v>96</v>
      </c>
      <c r="B55" s="24" t="s">
        <v>97</v>
      </c>
    </row>
    <row r="56" spans="1:3" x14ac:dyDescent="0.35">
      <c r="A56" s="23"/>
      <c r="B56" s="24" t="s">
        <v>98</v>
      </c>
    </row>
    <row r="57" spans="1:3" x14ac:dyDescent="0.35">
      <c r="A57" s="23"/>
      <c r="B57" s="24" t="s">
        <v>99</v>
      </c>
    </row>
    <row r="58" spans="1:3" x14ac:dyDescent="0.35">
      <c r="A58" s="23"/>
      <c r="B58" s="24"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Friendly, Randall J</dc:creator>
  <cp:lastModifiedBy>Friendly, Randall J</cp:lastModifiedBy>
  <dcterms:created xsi:type="dcterms:W3CDTF">2025-05-06T19:50:47Z</dcterms:created>
  <dcterms:modified xsi:type="dcterms:W3CDTF">2025-05-22T18:50:41Z</dcterms:modified>
</cp:coreProperties>
</file>